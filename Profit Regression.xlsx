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kram\OneDrive\Desktop\Profit Analysis Project\"/>
    </mc:Choice>
  </mc:AlternateContent>
  <xr:revisionPtr revIDLastSave="0" documentId="13_ncr:1_{9DC42F22-DC45-4685-AC20-0F9CA2C804E3}" xr6:coauthVersionLast="47" xr6:coauthVersionMax="47" xr10:uidLastSave="{00000000-0000-0000-0000-000000000000}"/>
  <bookViews>
    <workbookView xWindow="-110" yWindow="-110" windowWidth="19420" windowHeight="10300" activeTab="2" xr2:uid="{C07BD40F-05D3-45BF-A710-4FB77C2E667E}"/>
  </bookViews>
  <sheets>
    <sheet name="startup" sheetId="2" r:id="rId1"/>
    <sheet name="Regression Sheet" sheetId="3" r:id="rId2"/>
    <sheet name="Insights and Summary" sheetId="4" r:id="rId3"/>
  </sheets>
  <definedNames>
    <definedName name="ExternalData_1" localSheetId="0" hidden="1">startup!$A$1:$E$51</definedName>
    <definedName name="solver_eng" localSheetId="1" hidden="1">1</definedName>
    <definedName name="solver_eng" localSheetId="0" hidden="1">1</definedName>
    <definedName name="solver_neg" localSheetId="1" hidden="1">1</definedName>
    <definedName name="solver_neg" localSheetId="0" hidden="1">1</definedName>
    <definedName name="solver_num" localSheetId="1" hidden="1">0</definedName>
    <definedName name="solver_num" localSheetId="0" hidden="1">0</definedName>
    <definedName name="solver_opt" localSheetId="1" hidden="1">'Regression Sheet'!$H$3</definedName>
    <definedName name="solver_opt" localSheetId="0" hidden="1">startup!$A$1</definedName>
    <definedName name="solver_typ" localSheetId="1" hidden="1">1</definedName>
    <definedName name="solver_typ" localSheetId="0" hidden="1">1</definedName>
    <definedName name="solver_val" localSheetId="1" hidden="1">0</definedName>
    <definedName name="solver_val" localSheetId="0" hidden="1">0</definedName>
    <definedName name="solver_ver" localSheetId="1" hidden="1">3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8" i="4" l="1"/>
  <c r="F10" i="4"/>
  <c r="E5" i="4"/>
  <c r="C5" i="4"/>
  <c r="A5" i="4"/>
  <c r="K5" i="3"/>
  <c r="K4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09CFA56-16E7-4612-A700-A0E55043AE1D}" keepAlive="1" name="Query - startup" description="Connection to the 'startup' query in the workbook." type="5" refreshedVersion="8" background="1" saveData="1">
    <dbPr connection="Provider=Microsoft.Mashup.OleDb.1;Data Source=$Workbook$;Location=startup;Extended Properties=&quot;&quot;" command="SELECT * FROM [startup]"/>
  </connection>
</connections>
</file>

<file path=xl/sharedStrings.xml><?xml version="1.0" encoding="utf-8"?>
<sst xmlns="http://schemas.openxmlformats.org/spreadsheetml/2006/main" count="129" uniqueCount="65">
  <si>
    <t>RD_Spend</t>
  </si>
  <si>
    <t>Administration</t>
  </si>
  <si>
    <t>Marketing_Spend</t>
  </si>
  <si>
    <t>State</t>
  </si>
  <si>
    <t>Profit</t>
  </si>
  <si>
    <t>New York</t>
  </si>
  <si>
    <t>California</t>
  </si>
  <si>
    <t>Florida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</si>
  <si>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</si>
  <si>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</si>
  <si>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</si>
  <si>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</si>
  <si>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</si>
  <si>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</si>
  <si>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</si>
  <si>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</si>
  <si>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</si>
  <si>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</si>
  <si>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</si>
  <si>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</si>
  <si>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</si>
  <si>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</si>
  <si>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</si>
  <si>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</si>
  <si>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</si>
  <si>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</si>
  <si>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</si>
  <si>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</si>
  <si>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</si>
  <si>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</si>
  <si>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</si>
  <si>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</si>
  <si>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R&amp;D Spend</t>
  </si>
  <si>
    <t>Marketing Spend</t>
  </si>
  <si>
    <t>Calculations</t>
  </si>
  <si>
    <t>Total R&amp;D Investment</t>
  </si>
  <si>
    <t>Total Marketing Investment</t>
  </si>
  <si>
    <t>Total Net Profit</t>
  </si>
  <si>
    <t>Strategic Capital Allocation Rules (Based on Regression Output):</t>
  </si>
  <si>
    <t>2. Maintain Controlled Marketing: Marketing spending yields positive returns, though less significant than R&amp;D.</t>
  </si>
  <si>
    <t>POWER BI VISUALIZATION PLAN MATRIX</t>
  </si>
  <si>
    <t>Visual Name</t>
  </si>
  <si>
    <t>Chart Type</t>
  </si>
  <si>
    <t>X-Axis / Legend</t>
  </si>
  <si>
    <t>Y-Axis / Values</t>
  </si>
  <si>
    <t>Insights Produced</t>
  </si>
  <si>
    <t>Scatter Plot - R&amp;D Spend vs Profit</t>
  </si>
  <si>
    <t>Scatter Chart</t>
  </si>
  <si>
    <t>Shows a tight, steep positive linear slope proving R&amp;D is the primary profit driver.</t>
  </si>
  <si>
    <t>Scatter Plot - Marketing Spend vs Profit</t>
  </si>
  <si>
    <t>Depicts moderate upward returns; secondary revenue scaling catalyst.</t>
  </si>
  <si>
    <t>Scatter Plot - Administration vs Profit</t>
  </si>
  <si>
    <t>Shows a flat horizontal trendline, proving admin overhead doesn't affect profit.</t>
  </si>
  <si>
    <t>State vs Profit Bar Chart</t>
  </si>
  <si>
    <t>Clustered Column</t>
  </si>
  <si>
    <t>State vs Profit Pie Chart</t>
  </si>
  <si>
    <t>Pie Chart</t>
  </si>
  <si>
    <t>Sum of Profit</t>
  </si>
  <si>
    <t xml:space="preserve"> Shows sum of profit across regions.</t>
  </si>
  <si>
    <t>Illustrates market share contribution by geographic territory.</t>
  </si>
  <si>
    <t>Total Administration Investment</t>
  </si>
  <si>
    <t>Number of Startups</t>
  </si>
  <si>
    <r>
      <t xml:space="preserve">                                                                               </t>
    </r>
    <r>
      <rPr>
        <sz val="20"/>
        <color rgb="FF006100"/>
        <rFont val="Calibri"/>
        <family val="2"/>
        <scheme val="minor"/>
      </rPr>
      <t xml:space="preserve">  STARTUP PROFITABILITY DRIVERS DASHBOARD</t>
    </r>
  </si>
  <si>
    <t>1. Prioritize R&amp;D Budgets: R&amp;D spending exhibits a highly significant positive correlation with total profits</t>
  </si>
  <si>
    <t>3. Monitor Administrative Overhead: Overhead spending patterns show no reliable link to profit margins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</si>
</sst>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"/>
  </numFmts>
  <fonts count="14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rgb="FF3C4043"/>
      <name val="Book Antiqua"/>
      <family val="1"/>
    </font>
    <font>
      <sz val="14"/>
      <color rgb="FF3C4043"/>
      <name val="Book Antiqua"/>
      <family val="1"/>
    </font>
    <font>
      <sz val="11"/>
      <color rgb="FF0061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rgb="FF1F4E78"/>
      <name val="Segoe UI"/>
      <family val="2"/>
    </font>
    <font>
      <b/>
      <sz val="12"/>
      <color rgb="FF1F4E78"/>
      <name val="Segoe UI"/>
      <family val="2"/>
    </font>
    <font>
      <i/>
      <sz val="10"/>
      <name val="Segoe UI"/>
      <family val="2"/>
    </font>
    <font>
      <b/>
      <sz val="10"/>
      <color rgb="FFFFFFFF"/>
      <name val="Segoe UI"/>
      <family val="2"/>
    </font>
    <font>
      <sz val="10"/>
      <name val="Segoe UI"/>
      <family val="2"/>
    </font>
    <font>
      <sz val="20"/>
      <color rgb="FF0061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A5A5A5"/>
      </patternFill>
    </fill>
    <fill>
      <patternFill patternType="solid">
        <fgColor theme="6" tint="0.79998168889431442"/>
        <bgColor indexed="65"/>
      </patternFill>
    </fill>
    <fill>
      <patternFill patternType="solid">
        <fgColor rgb="FFF2F4F7"/>
        <bgColor rgb="FFF2F4F7"/>
      </patternFill>
    </fill>
    <fill>
      <patternFill patternType="solid">
        <fgColor rgb="FF1F4E78"/>
        <bgColor rgb="FF1F4E78"/>
      </patternFill>
    </fill>
  </fills>
  <borders count="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7">
    <xf numFmtId="0" fontId="0" fillId="0" borderId="0"/>
    <xf numFmtId="0" fontId="3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6" fillId="5" borderId="0" applyNumberFormat="0" applyBorder="0" applyAlignment="0" applyProtection="0"/>
    <xf numFmtId="0" fontId="7" fillId="6" borderId="3" applyNumberFormat="0" applyAlignment="0" applyProtection="0"/>
    <xf numFmtId="0" fontId="2" fillId="7" borderId="0" applyNumberFormat="0" applyBorder="0" applyAlignment="0" applyProtection="0"/>
  </cellStyleXfs>
  <cellXfs count="23">
    <xf numFmtId="0" fontId="0" fillId="0" borderId="0" xfId="0"/>
    <xf numFmtId="0" fontId="0" fillId="0" borderId="1" xfId="0" applyBorder="1"/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Continuous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left" vertical="center" indent="4"/>
    </xf>
    <xf numFmtId="0" fontId="3" fillId="2" borderId="0" xfId="1"/>
    <xf numFmtId="0" fontId="2" fillId="3" borderId="0" xfId="2"/>
    <xf numFmtId="0" fontId="2" fillId="4" borderId="0" xfId="3"/>
    <xf numFmtId="0" fontId="0" fillId="8" borderId="4" xfId="0" applyFill="1" applyBorder="1"/>
    <xf numFmtId="164" fontId="8" fillId="8" borderId="4" xfId="0" applyNumberFormat="1" applyFont="1" applyFill="1" applyBorder="1" applyAlignment="1">
      <alignment horizontal="center"/>
    </xf>
    <xf numFmtId="1" fontId="8" fillId="8" borderId="4" xfId="0" applyNumberFormat="1" applyFont="1" applyFill="1" applyBorder="1" applyAlignment="1">
      <alignment horizontal="center"/>
    </xf>
    <xf numFmtId="0" fontId="9" fillId="0" borderId="0" xfId="0" applyFont="1"/>
    <xf numFmtId="0" fontId="10" fillId="0" borderId="0" xfId="0" applyFont="1"/>
    <xf numFmtId="0" fontId="11" fillId="9" borderId="0" xfId="0" applyFont="1" applyFill="1" applyAlignment="1">
      <alignment horizontal="center"/>
    </xf>
    <xf numFmtId="0" fontId="12" fillId="0" borderId="4" xfId="0" applyFont="1" applyBorder="1"/>
    <xf numFmtId="0" fontId="12" fillId="8" borderId="4" xfId="0" applyFont="1" applyFill="1" applyBorder="1"/>
    <xf numFmtId="0" fontId="7" fillId="6" borderId="3" xfId="5" applyAlignment="1">
      <alignment horizontal="center"/>
    </xf>
    <xf numFmtId="0" fontId="7" fillId="6" borderId="3" xfId="5"/>
    <xf numFmtId="0" fontId="7" fillId="6" borderId="3" xfId="5"/>
    <xf numFmtId="0" fontId="6" fillId="5" borderId="0" xfId="4"/>
    <xf numFmtId="0" fontId="2" fillId="7" borderId="0" xfId="6"/>
  </cellXfs>
  <cellStyles count="7">
    <cellStyle name="20% - Accent3" xfId="6" builtinId="38"/>
    <cellStyle name="60% - Accent1" xfId="2" builtinId="32"/>
    <cellStyle name="60% - Accent2" xfId="3" builtinId="36"/>
    <cellStyle name="Accent1" xfId="1" builtinId="29"/>
    <cellStyle name="Check Cell" xfId="5" builtinId="23"/>
    <cellStyle name="Good" xfId="4" builtinId="26"/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9C0592D-475A-41A9-8158-8A81B156AD59}" autoFormatId="16" applyNumberFormats="0" applyBorderFormats="0" applyFontFormats="0" applyPatternFormats="0" applyAlignmentFormats="0" applyWidthHeightFormats="0">
  <queryTableRefresh nextId="6">
    <queryTableFields count="5">
      <queryTableField id="1" name="RD_Spend" tableColumnId="1"/>
      <queryTableField id="2" name="Administration" tableColumnId="2"/>
      <queryTableField id="3" name="Marketing_Spend" tableColumnId="3"/>
      <queryTableField id="4" name="State" tableColumnId="4"/>
      <queryTableField id="5" name="Profit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FB8C7D-8046-4BC3-A842-7D3FF4AE0BEC}" name="startup" displayName="startup" ref="A1:E51" tableType="queryTable" totalsRowShown="0">
  <autoFilter ref="A1:E51" xr:uid="{59FB8C7D-8046-4BC3-A842-7D3FF4AE0BEC}"/>
  <tableColumns count="5">
    <tableColumn id="1" xr3:uid="{F87C943D-50F8-4651-9C9D-C960E09EDD5D}" uniqueName="1" name="RD_Spend" queryTableFieldId="1"/>
    <tableColumn id="2" xr3:uid="{B7531C03-30D9-41D9-82EF-23BDF71CE9B2}" uniqueName="2" name="Administration" queryTableFieldId="2"/>
    <tableColumn id="3" xr3:uid="{E5A13F11-E22C-4B80-9C3D-64EB6A8C76E0}" uniqueName="3" name="Marketing_Spend" queryTableFieldId="3"/>
    <tableColumn id="4" xr3:uid="{FB368ACE-C13B-43F7-BEC3-8ADB6D4EED39}" uniqueName="4" name="State" queryTableFieldId="4" dataDxfId="0"/>
    <tableColumn id="5" xr3:uid="{0061AFD4-E5FE-44E7-A2A3-A44D9405B944}" uniqueName="5" name="Profit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F3F65-AA3F-4819-A782-17898FC071FD}">
  <dimension ref="A1:E51"/>
  <sheetViews>
    <sheetView topLeftCell="A46" workbookViewId="0">
      <selection sqref="A1:E51"/>
    </sheetView>
  </sheetViews>
  <sheetFormatPr defaultRowHeight="14.5" x14ac:dyDescent="0.35"/>
  <cols>
    <col min="1" max="1" width="11.6328125" bestFit="1" customWidth="1"/>
    <col min="2" max="2" width="15.7265625" bestFit="1" customWidth="1"/>
    <col min="3" max="3" width="18" bestFit="1" customWidth="1"/>
    <col min="4" max="4" width="8.81640625" bestFit="1" customWidth="1"/>
    <col min="5" max="5" width="9.816406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165349.20000000001</v>
      </c>
      <c r="B2">
        <v>136897.79999999999</v>
      </c>
      <c r="C2">
        <v>471784.1</v>
      </c>
      <c r="D2" t="s">
        <v>5</v>
      </c>
      <c r="E2">
        <v>192261.83</v>
      </c>
    </row>
    <row r="3" spans="1:5" x14ac:dyDescent="0.35">
      <c r="A3">
        <v>162597.70000000001</v>
      </c>
      <c r="B3">
        <v>151377.59</v>
      </c>
      <c r="C3">
        <v>443898.53</v>
      </c>
      <c r="D3" t="s">
        <v>6</v>
      </c>
      <c r="E3">
        <v>191792.06</v>
      </c>
    </row>
    <row r="4" spans="1:5" x14ac:dyDescent="0.35">
      <c r="A4">
        <v>153441.51</v>
      </c>
      <c r="B4">
        <v>101145.55</v>
      </c>
      <c r="C4">
        <v>407934.54</v>
      </c>
      <c r="D4" t="s">
        <v>7</v>
      </c>
      <c r="E4">
        <v>191050.39</v>
      </c>
    </row>
    <row r="5" spans="1:5" x14ac:dyDescent="0.35">
      <c r="A5">
        <v>144372.41</v>
      </c>
      <c r="B5">
        <v>118671.85</v>
      </c>
      <c r="C5">
        <v>383199.62</v>
      </c>
      <c r="D5" t="s">
        <v>5</v>
      </c>
      <c r="E5">
        <v>182901.99</v>
      </c>
    </row>
    <row r="6" spans="1:5" x14ac:dyDescent="0.35">
      <c r="A6">
        <v>142107.34</v>
      </c>
      <c r="B6">
        <v>91391.77</v>
      </c>
      <c r="C6">
        <v>366168.42</v>
      </c>
      <c r="D6" t="s">
        <v>7</v>
      </c>
      <c r="E6">
        <v>166187.94</v>
      </c>
    </row>
    <row r="7" spans="1:5" x14ac:dyDescent="0.35">
      <c r="A7">
        <v>131876.9</v>
      </c>
      <c r="B7">
        <v>99814.71</v>
      </c>
      <c r="C7">
        <v>362861.36</v>
      </c>
      <c r="D7" t="s">
        <v>5</v>
      </c>
      <c r="E7">
        <v>156991.12</v>
      </c>
    </row>
    <row r="8" spans="1:5" x14ac:dyDescent="0.35">
      <c r="A8">
        <v>134615.46</v>
      </c>
      <c r="B8">
        <v>147198.87</v>
      </c>
      <c r="C8">
        <v>127716.82</v>
      </c>
      <c r="D8" t="s">
        <v>6</v>
      </c>
      <c r="E8">
        <v>156122.51</v>
      </c>
    </row>
    <row r="9" spans="1:5" x14ac:dyDescent="0.35">
      <c r="A9">
        <v>130298.13</v>
      </c>
      <c r="B9">
        <v>145530.06</v>
      </c>
      <c r="C9">
        <v>323876.68</v>
      </c>
      <c r="D9" t="s">
        <v>7</v>
      </c>
      <c r="E9">
        <v>155752.6</v>
      </c>
    </row>
    <row r="10" spans="1:5" x14ac:dyDescent="0.35">
      <c r="A10">
        <v>120542.52</v>
      </c>
      <c r="B10">
        <v>148718.95000000001</v>
      </c>
      <c r="C10">
        <v>311613.28999999998</v>
      </c>
      <c r="D10" t="s">
        <v>5</v>
      </c>
      <c r="E10">
        <v>152211.76999999999</v>
      </c>
    </row>
    <row r="11" spans="1:5" x14ac:dyDescent="0.35">
      <c r="A11">
        <v>123334.88</v>
      </c>
      <c r="B11">
        <v>108679.17</v>
      </c>
      <c r="C11">
        <v>304981.62</v>
      </c>
      <c r="D11" t="s">
        <v>6</v>
      </c>
      <c r="E11">
        <v>149759.96</v>
      </c>
    </row>
    <row r="12" spans="1:5" x14ac:dyDescent="0.35">
      <c r="A12">
        <v>101913.08</v>
      </c>
      <c r="B12">
        <v>110594.11</v>
      </c>
      <c r="C12">
        <v>229160.95</v>
      </c>
      <c r="D12" t="s">
        <v>7</v>
      </c>
      <c r="E12">
        <v>146121.95000000001</v>
      </c>
    </row>
    <row r="13" spans="1:5" x14ac:dyDescent="0.35">
      <c r="A13">
        <v>100671.96</v>
      </c>
      <c r="B13">
        <v>91790.61</v>
      </c>
      <c r="C13">
        <v>249744.55</v>
      </c>
      <c r="D13" t="s">
        <v>6</v>
      </c>
      <c r="E13">
        <v>144259.4</v>
      </c>
    </row>
    <row r="14" spans="1:5" x14ac:dyDescent="0.35">
      <c r="A14">
        <v>93863.75</v>
      </c>
      <c r="B14">
        <v>127320.38</v>
      </c>
      <c r="C14">
        <v>249839.44</v>
      </c>
      <c r="D14" t="s">
        <v>7</v>
      </c>
      <c r="E14">
        <v>141585.51999999999</v>
      </c>
    </row>
    <row r="15" spans="1:5" x14ac:dyDescent="0.35">
      <c r="A15">
        <v>91992.39</v>
      </c>
      <c r="B15">
        <v>135495.07</v>
      </c>
      <c r="C15">
        <v>252664.93</v>
      </c>
      <c r="D15" t="s">
        <v>6</v>
      </c>
      <c r="E15">
        <v>134307.35</v>
      </c>
    </row>
    <row r="16" spans="1:5" x14ac:dyDescent="0.35">
      <c r="A16">
        <v>119943.24</v>
      </c>
      <c r="B16">
        <v>156547.42000000001</v>
      </c>
      <c r="C16">
        <v>256512.92</v>
      </c>
      <c r="D16" t="s">
        <v>7</v>
      </c>
      <c r="E16">
        <v>132602.65</v>
      </c>
    </row>
    <row r="17" spans="1:5" x14ac:dyDescent="0.35">
      <c r="A17">
        <v>114523.61</v>
      </c>
      <c r="B17">
        <v>122616.84</v>
      </c>
      <c r="C17">
        <v>261776.23</v>
      </c>
      <c r="D17" t="s">
        <v>5</v>
      </c>
      <c r="E17">
        <v>129917.04</v>
      </c>
    </row>
    <row r="18" spans="1:5" x14ac:dyDescent="0.35">
      <c r="A18">
        <v>78013.11</v>
      </c>
      <c r="B18">
        <v>121597.55</v>
      </c>
      <c r="C18">
        <v>264346.06</v>
      </c>
      <c r="D18" t="s">
        <v>6</v>
      </c>
      <c r="E18">
        <v>126992.93</v>
      </c>
    </row>
    <row r="19" spans="1:5" x14ac:dyDescent="0.35">
      <c r="A19">
        <v>94657.16</v>
      </c>
      <c r="B19">
        <v>145077.57999999999</v>
      </c>
      <c r="C19">
        <v>282574.31</v>
      </c>
      <c r="D19" t="s">
        <v>5</v>
      </c>
      <c r="E19">
        <v>125370.37</v>
      </c>
    </row>
    <row r="20" spans="1:5" x14ac:dyDescent="0.35">
      <c r="A20">
        <v>91749.16</v>
      </c>
      <c r="B20">
        <v>114175.79</v>
      </c>
      <c r="C20">
        <v>294919.57</v>
      </c>
      <c r="D20" t="s">
        <v>7</v>
      </c>
      <c r="E20">
        <v>124266.9</v>
      </c>
    </row>
    <row r="21" spans="1:5" x14ac:dyDescent="0.35">
      <c r="A21">
        <v>86419.7</v>
      </c>
      <c r="B21">
        <v>153514.10999999999</v>
      </c>
      <c r="C21">
        <v>0</v>
      </c>
      <c r="D21" t="s">
        <v>5</v>
      </c>
      <c r="E21">
        <v>122776.86</v>
      </c>
    </row>
    <row r="22" spans="1:5" x14ac:dyDescent="0.35">
      <c r="A22">
        <v>76253.86</v>
      </c>
      <c r="B22">
        <v>113867.3</v>
      </c>
      <c r="C22">
        <v>298664.46999999997</v>
      </c>
      <c r="D22" t="s">
        <v>6</v>
      </c>
      <c r="E22">
        <v>118474.03</v>
      </c>
    </row>
    <row r="23" spans="1:5" x14ac:dyDescent="0.35">
      <c r="A23">
        <v>78389.47</v>
      </c>
      <c r="B23">
        <v>153773.43</v>
      </c>
      <c r="C23">
        <v>299737.28999999998</v>
      </c>
      <c r="D23" t="s">
        <v>5</v>
      </c>
      <c r="E23">
        <v>111313.02</v>
      </c>
    </row>
    <row r="24" spans="1:5" x14ac:dyDescent="0.35">
      <c r="A24">
        <v>73994.559999999998</v>
      </c>
      <c r="B24">
        <v>122782.75</v>
      </c>
      <c r="C24">
        <v>303319.26</v>
      </c>
      <c r="D24" t="s">
        <v>7</v>
      </c>
      <c r="E24">
        <v>110352.25</v>
      </c>
    </row>
    <row r="25" spans="1:5" x14ac:dyDescent="0.35">
      <c r="A25">
        <v>67532.53</v>
      </c>
      <c r="B25">
        <v>105751.03</v>
      </c>
      <c r="C25">
        <v>304768.73</v>
      </c>
      <c r="D25" t="s">
        <v>7</v>
      </c>
      <c r="E25">
        <v>108733.99</v>
      </c>
    </row>
    <row r="26" spans="1:5" x14ac:dyDescent="0.35">
      <c r="A26">
        <v>77044.009999999995</v>
      </c>
      <c r="B26">
        <v>99281.34</v>
      </c>
      <c r="C26">
        <v>140574.81</v>
      </c>
      <c r="D26" t="s">
        <v>5</v>
      </c>
      <c r="E26">
        <v>108552.04</v>
      </c>
    </row>
    <row r="27" spans="1:5" x14ac:dyDescent="0.35">
      <c r="A27">
        <v>64664.71</v>
      </c>
      <c r="B27">
        <v>139553.16</v>
      </c>
      <c r="C27">
        <v>137962.62</v>
      </c>
      <c r="D27" t="s">
        <v>6</v>
      </c>
      <c r="E27">
        <v>107404.34</v>
      </c>
    </row>
    <row r="28" spans="1:5" x14ac:dyDescent="0.35">
      <c r="A28">
        <v>75328.87</v>
      </c>
      <c r="B28">
        <v>144135.98000000001</v>
      </c>
      <c r="C28">
        <v>134050.07</v>
      </c>
      <c r="D28" t="s">
        <v>7</v>
      </c>
      <c r="E28">
        <v>105733.54</v>
      </c>
    </row>
    <row r="29" spans="1:5" x14ac:dyDescent="0.35">
      <c r="A29">
        <v>72107.600000000006</v>
      </c>
      <c r="B29">
        <v>127864.55</v>
      </c>
      <c r="C29">
        <v>353183.81</v>
      </c>
      <c r="D29" t="s">
        <v>5</v>
      </c>
      <c r="E29">
        <v>105008.31</v>
      </c>
    </row>
    <row r="30" spans="1:5" x14ac:dyDescent="0.35">
      <c r="A30">
        <v>66051.520000000004</v>
      </c>
      <c r="B30">
        <v>182645.56</v>
      </c>
      <c r="C30">
        <v>118148.2</v>
      </c>
      <c r="D30" t="s">
        <v>7</v>
      </c>
      <c r="E30">
        <v>103282.38</v>
      </c>
    </row>
    <row r="31" spans="1:5" x14ac:dyDescent="0.35">
      <c r="A31">
        <v>65605.48</v>
      </c>
      <c r="B31">
        <v>153032.06</v>
      </c>
      <c r="C31">
        <v>107138.38</v>
      </c>
      <c r="D31" t="s">
        <v>5</v>
      </c>
      <c r="E31">
        <v>101004.64</v>
      </c>
    </row>
    <row r="32" spans="1:5" x14ac:dyDescent="0.35">
      <c r="A32">
        <v>61994.48</v>
      </c>
      <c r="B32">
        <v>115641.28</v>
      </c>
      <c r="C32">
        <v>91131.24</v>
      </c>
      <c r="D32" t="s">
        <v>7</v>
      </c>
      <c r="E32">
        <v>99937.59</v>
      </c>
    </row>
    <row r="33" spans="1:5" x14ac:dyDescent="0.35">
      <c r="A33">
        <v>61136.38</v>
      </c>
      <c r="B33">
        <v>152701.92000000001</v>
      </c>
      <c r="C33">
        <v>88218.23</v>
      </c>
      <c r="D33" t="s">
        <v>5</v>
      </c>
      <c r="E33">
        <v>97483.56</v>
      </c>
    </row>
    <row r="34" spans="1:5" x14ac:dyDescent="0.35">
      <c r="A34">
        <v>63408.86</v>
      </c>
      <c r="B34">
        <v>129219.61</v>
      </c>
      <c r="C34">
        <v>46085.25</v>
      </c>
      <c r="D34" t="s">
        <v>6</v>
      </c>
      <c r="E34">
        <v>97427.839999999997</v>
      </c>
    </row>
    <row r="35" spans="1:5" x14ac:dyDescent="0.35">
      <c r="A35">
        <v>55493.95</v>
      </c>
      <c r="B35">
        <v>103057.49</v>
      </c>
      <c r="C35">
        <v>214634.81</v>
      </c>
      <c r="D35" t="s">
        <v>7</v>
      </c>
      <c r="E35">
        <v>96778.92</v>
      </c>
    </row>
    <row r="36" spans="1:5" x14ac:dyDescent="0.35">
      <c r="A36">
        <v>46426.07</v>
      </c>
      <c r="B36">
        <v>157693.92000000001</v>
      </c>
      <c r="C36">
        <v>210797.67</v>
      </c>
      <c r="D36" t="s">
        <v>6</v>
      </c>
      <c r="E36">
        <v>96712.8</v>
      </c>
    </row>
    <row r="37" spans="1:5" x14ac:dyDescent="0.35">
      <c r="A37">
        <v>46014.02</v>
      </c>
      <c r="B37">
        <v>85047.44</v>
      </c>
      <c r="C37">
        <v>205517.64</v>
      </c>
      <c r="D37" t="s">
        <v>5</v>
      </c>
      <c r="E37">
        <v>96479.51</v>
      </c>
    </row>
    <row r="38" spans="1:5" x14ac:dyDescent="0.35">
      <c r="A38">
        <v>28663.759999999998</v>
      </c>
      <c r="B38">
        <v>127056.21</v>
      </c>
      <c r="C38">
        <v>201126.82</v>
      </c>
      <c r="D38" t="s">
        <v>7</v>
      </c>
      <c r="E38">
        <v>90708.19</v>
      </c>
    </row>
    <row r="39" spans="1:5" x14ac:dyDescent="0.35">
      <c r="A39">
        <v>44069.95</v>
      </c>
      <c r="B39">
        <v>51283.14</v>
      </c>
      <c r="C39">
        <v>197029.42</v>
      </c>
      <c r="D39" t="s">
        <v>6</v>
      </c>
      <c r="E39">
        <v>89949.14</v>
      </c>
    </row>
    <row r="40" spans="1:5" x14ac:dyDescent="0.35">
      <c r="A40">
        <v>20229.59</v>
      </c>
      <c r="B40">
        <v>65947.929999999993</v>
      </c>
      <c r="C40">
        <v>185265.1</v>
      </c>
      <c r="D40" t="s">
        <v>5</v>
      </c>
      <c r="E40">
        <v>81229.06</v>
      </c>
    </row>
    <row r="41" spans="1:5" x14ac:dyDescent="0.35">
      <c r="A41">
        <v>38558.51</v>
      </c>
      <c r="B41">
        <v>82982.09</v>
      </c>
      <c r="C41">
        <v>174999.3</v>
      </c>
      <c r="D41" t="s">
        <v>6</v>
      </c>
      <c r="E41">
        <v>81005.759999999995</v>
      </c>
    </row>
    <row r="42" spans="1:5" x14ac:dyDescent="0.35">
      <c r="A42">
        <v>28754.33</v>
      </c>
      <c r="B42">
        <v>118546.05</v>
      </c>
      <c r="C42">
        <v>172795.67</v>
      </c>
      <c r="D42" t="s">
        <v>6</v>
      </c>
      <c r="E42">
        <v>78239.91</v>
      </c>
    </row>
    <row r="43" spans="1:5" x14ac:dyDescent="0.35">
      <c r="A43">
        <v>27892.92</v>
      </c>
      <c r="B43">
        <v>84710.77</v>
      </c>
      <c r="C43">
        <v>164470.71</v>
      </c>
      <c r="D43" t="s">
        <v>7</v>
      </c>
      <c r="E43">
        <v>77798.83</v>
      </c>
    </row>
    <row r="44" spans="1:5" x14ac:dyDescent="0.35">
      <c r="A44">
        <v>23640.93</v>
      </c>
      <c r="B44">
        <v>96189.63</v>
      </c>
      <c r="C44">
        <v>148001.10999999999</v>
      </c>
      <c r="D44" t="s">
        <v>6</v>
      </c>
      <c r="E44">
        <v>71498.490000000005</v>
      </c>
    </row>
    <row r="45" spans="1:5" x14ac:dyDescent="0.35">
      <c r="A45">
        <v>15505.73</v>
      </c>
      <c r="B45">
        <v>127382.3</v>
      </c>
      <c r="C45">
        <v>35534.17</v>
      </c>
      <c r="D45" t="s">
        <v>5</v>
      </c>
      <c r="E45">
        <v>69758.98</v>
      </c>
    </row>
    <row r="46" spans="1:5" x14ac:dyDescent="0.35">
      <c r="A46">
        <v>22177.74</v>
      </c>
      <c r="B46">
        <v>154806.14000000001</v>
      </c>
      <c r="C46">
        <v>28334.720000000001</v>
      </c>
      <c r="D46" t="s">
        <v>6</v>
      </c>
      <c r="E46">
        <v>65200.33</v>
      </c>
    </row>
    <row r="47" spans="1:5" x14ac:dyDescent="0.35">
      <c r="A47">
        <v>1000.23</v>
      </c>
      <c r="B47">
        <v>124153.04</v>
      </c>
      <c r="C47">
        <v>1903.93</v>
      </c>
      <c r="D47" t="s">
        <v>5</v>
      </c>
      <c r="E47">
        <v>64926.080000000002</v>
      </c>
    </row>
    <row r="48" spans="1:5" x14ac:dyDescent="0.35">
      <c r="A48">
        <v>1315.46</v>
      </c>
      <c r="B48">
        <v>115816.21</v>
      </c>
      <c r="C48">
        <v>297114.46000000002</v>
      </c>
      <c r="D48" t="s">
        <v>7</v>
      </c>
      <c r="E48">
        <v>49490.75</v>
      </c>
    </row>
    <row r="49" spans="1:5" x14ac:dyDescent="0.35">
      <c r="A49">
        <v>0</v>
      </c>
      <c r="B49">
        <v>135426.92000000001</v>
      </c>
      <c r="C49">
        <v>0</v>
      </c>
      <c r="D49" t="s">
        <v>6</v>
      </c>
      <c r="E49">
        <v>42559.73</v>
      </c>
    </row>
    <row r="50" spans="1:5" x14ac:dyDescent="0.35">
      <c r="A50">
        <v>542.04999999999995</v>
      </c>
      <c r="B50">
        <v>51743.15</v>
      </c>
      <c r="C50">
        <v>0</v>
      </c>
      <c r="D50" t="s">
        <v>5</v>
      </c>
      <c r="E50">
        <v>35673.410000000003</v>
      </c>
    </row>
    <row r="51" spans="1:5" x14ac:dyDescent="0.35">
      <c r="A51">
        <v>0</v>
      </c>
      <c r="B51">
        <v>116983.8</v>
      </c>
      <c r="C51">
        <v>45173.06</v>
      </c>
      <c r="D51" t="s">
        <v>6</v>
      </c>
      <c r="E51">
        <v>14681.4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623AE-49E9-4DBC-8E26-55E12556E3CE}">
  <dimension ref="A1:K27"/>
  <sheetViews>
    <sheetView workbookViewId="0">
      <selection activeCell="K8" sqref="K8"/>
    </sheetView>
  </sheetViews>
  <sheetFormatPr defaultRowHeight="14.5" x14ac:dyDescent="0.35"/>
  <cols>
    <col min="1" max="1" width="17.26953125" bestFit="1" customWidth="1"/>
    <col min="2" max="2" width="12.453125" bestFit="1" customWidth="1"/>
    <col min="3" max="3" width="13.54296875" bestFit="1" customWidth="1"/>
    <col min="4" max="4" width="12.453125" bestFit="1" customWidth="1"/>
    <col min="5" max="5" width="11.81640625" bestFit="1" customWidth="1"/>
    <col min="6" max="6" width="12.453125" bestFit="1" customWidth="1"/>
    <col min="7" max="7" width="11.81640625" bestFit="1" customWidth="1"/>
    <col min="8" max="8" width="12.453125" bestFit="1" customWidth="1"/>
    <col min="9" max="9" width="13.26953125" bestFit="1" customWidth="1"/>
    <col min="10" max="10" width="15" bestFit="1" customWidth="1"/>
    <col min="11" max="11" width="14.453125" customWidth="1"/>
  </cols>
  <sheetData>
    <row r="1" spans="1:11" x14ac:dyDescent="0.35">
      <c r="A1" t="s">
        <v>8</v>
      </c>
    </row>
    <row r="2" spans="1:11" ht="15" thickBot="1" x14ac:dyDescent="0.4">
      <c r="H2" s="7" t="s">
        <v>34</v>
      </c>
    </row>
    <row r="3" spans="1:11" x14ac:dyDescent="0.35">
      <c r="A3" s="3" t="s">
        <v>9</v>
      </c>
      <c r="B3" s="3"/>
      <c r="H3" s="8" t="s">
        <v>32</v>
      </c>
      <c r="I3" s="8" t="s">
        <v>1</v>
      </c>
      <c r="J3" s="8" t="s">
        <v>33</v>
      </c>
      <c r="K3" s="8" t="s">
        <v>4</v>
      </c>
    </row>
    <row r="4" spans="1:11" x14ac:dyDescent="0.35">
      <c r="A4" t="s">
        <v>10</v>
      </c>
      <c r="B4">
        <v>0.97506204626594128</v>
      </c>
      <c r="H4" s="9">
        <v>21892.92</v>
      </c>
      <c r="I4" s="9">
        <v>81910.77</v>
      </c>
      <c r="J4" s="9">
        <v>164270.70000000001</v>
      </c>
      <c r="K4" s="9">
        <f>B18*(H4)+B19*(I4)+B20*(J4)+B17</f>
        <v>70037.904765432817</v>
      </c>
    </row>
    <row r="5" spans="1:11" x14ac:dyDescent="0.35">
      <c r="A5" t="s">
        <v>11</v>
      </c>
      <c r="B5">
        <v>0.95074599406832461</v>
      </c>
      <c r="H5" s="9">
        <v>23940.93</v>
      </c>
      <c r="I5" s="9">
        <v>96489.63</v>
      </c>
      <c r="J5" s="9">
        <v>137001.1</v>
      </c>
      <c r="K5" s="9">
        <f>B18*(H5)+B19*(I5)+B20*(J5)+B17</f>
        <v>70554.572559926848</v>
      </c>
    </row>
    <row r="6" spans="1:11" x14ac:dyDescent="0.35">
      <c r="A6" t="s">
        <v>12</v>
      </c>
      <c r="B6">
        <v>0.94753377629017177</v>
      </c>
    </row>
    <row r="7" spans="1:11" x14ac:dyDescent="0.35">
      <c r="A7" t="s">
        <v>13</v>
      </c>
      <c r="B7">
        <v>9232.3348370026924</v>
      </c>
    </row>
    <row r="8" spans="1:11" ht="15" thickBot="1" x14ac:dyDescent="0.4">
      <c r="A8" s="1" t="s">
        <v>14</v>
      </c>
      <c r="B8" s="1">
        <v>50</v>
      </c>
    </row>
    <row r="10" spans="1:11" ht="15" thickBot="1" x14ac:dyDescent="0.4">
      <c r="A10" t="s">
        <v>15</v>
      </c>
    </row>
    <row r="11" spans="1:11" x14ac:dyDescent="0.35">
      <c r="A11" s="2"/>
      <c r="B11" s="2" t="s">
        <v>20</v>
      </c>
      <c r="C11" s="2" t="s">
        <v>21</v>
      </c>
      <c r="D11" s="2" t="s">
        <v>22</v>
      </c>
      <c r="E11" s="2" t="s">
        <v>23</v>
      </c>
      <c r="F11" s="2" t="s">
        <v>24</v>
      </c>
    </row>
    <row r="12" spans="1:11" x14ac:dyDescent="0.35">
      <c r="A12" t="s">
        <v>16</v>
      </c>
      <c r="B12">
        <v>3</v>
      </c>
      <c r="C12">
        <v>75683964196.192642</v>
      </c>
      <c r="D12">
        <v>25227988065.397549</v>
      </c>
      <c r="E12">
        <v>295.97806242610113</v>
      </c>
      <c r="F12">
        <v>4.5285063201720611E-30</v>
      </c>
    </row>
    <row r="13" spans="1:11" x14ac:dyDescent="0.35">
      <c r="A13" t="s">
        <v>17</v>
      </c>
      <c r="B13">
        <v>46</v>
      </c>
      <c r="C13">
        <v>3920856300.956542</v>
      </c>
      <c r="D13">
        <v>85236006.542533517</v>
      </c>
    </row>
    <row r="14" spans="1:11" ht="15" thickBot="1" x14ac:dyDescent="0.4">
      <c r="A14" s="1" t="s">
        <v>18</v>
      </c>
      <c r="B14" s="1">
        <v>49</v>
      </c>
      <c r="C14" s="1">
        <v>79604820497.149185</v>
      </c>
      <c r="D14" s="1"/>
      <c r="E14" s="1"/>
      <c r="F14" s="1"/>
    </row>
    <row r="15" spans="1:11" ht="15" thickBot="1" x14ac:dyDescent="0.4"/>
    <row r="16" spans="1:11" x14ac:dyDescent="0.35">
      <c r="A16" s="2"/>
      <c r="B16" s="2" t="s">
        <v>25</v>
      </c>
      <c r="C16" s="2" t="s">
        <v>13</v>
      </c>
      <c r="D16" s="2" t="s">
        <v>26</v>
      </c>
      <c r="E16" s="2" t="s">
        <v>27</v>
      </c>
      <c r="F16" s="2" t="s">
        <v>28</v>
      </c>
      <c r="G16" s="2" t="s">
        <v>29</v>
      </c>
      <c r="H16" s="2" t="s">
        <v>30</v>
      </c>
      <c r="I16" s="2" t="s">
        <v>31</v>
      </c>
    </row>
    <row r="17" spans="1:9" x14ac:dyDescent="0.35">
      <c r="A17" t="s">
        <v>19</v>
      </c>
      <c r="B17">
        <v>50122.192989865282</v>
      </c>
      <c r="C17">
        <v>6572.3526215324682</v>
      </c>
      <c r="D17">
        <v>7.6262178668950273</v>
      </c>
      <c r="E17">
        <v>1.0573791602334319E-9</v>
      </c>
      <c r="F17">
        <v>36892.733323435998</v>
      </c>
      <c r="G17">
        <v>63351.652656294566</v>
      </c>
      <c r="H17">
        <v>36892.733323435998</v>
      </c>
      <c r="I17">
        <v>63351.652656294566</v>
      </c>
    </row>
    <row r="18" spans="1:9" x14ac:dyDescent="0.35">
      <c r="A18" t="s">
        <v>0</v>
      </c>
      <c r="B18">
        <v>0.80571504991574339</v>
      </c>
      <c r="C18">
        <v>4.5147269728517771E-2</v>
      </c>
      <c r="D18">
        <v>17.846373762150328</v>
      </c>
      <c r="E18">
        <v>2.6349677214705453E-22</v>
      </c>
      <c r="F18">
        <v>0.71483830937598158</v>
      </c>
      <c r="G18">
        <v>0.89659179045550519</v>
      </c>
      <c r="H18">
        <v>0.71483830937598158</v>
      </c>
      <c r="I18">
        <v>0.89659179045550519</v>
      </c>
    </row>
    <row r="19" spans="1:9" x14ac:dyDescent="0.35">
      <c r="A19" t="s">
        <v>1</v>
      </c>
      <c r="B19">
        <v>-2.6815968394751061E-2</v>
      </c>
      <c r="C19">
        <v>5.1028779938751379E-2</v>
      </c>
      <c r="D19">
        <v>-0.52550675181608542</v>
      </c>
      <c r="E19">
        <v>0.60175510784974762</v>
      </c>
      <c r="F19">
        <v>-0.12953157495169182</v>
      </c>
      <c r="G19">
        <v>7.5899638162189684E-2</v>
      </c>
      <c r="H19">
        <v>-0.12953157495169182</v>
      </c>
      <c r="I19">
        <v>7.5899638162189684E-2</v>
      </c>
    </row>
    <row r="20" spans="1:9" ht="15" thickBot="1" x14ac:dyDescent="0.4">
      <c r="A20" s="1" t="s">
        <v>2</v>
      </c>
      <c r="B20" s="1">
        <v>2.7228064800818939E-2</v>
      </c>
      <c r="C20" s="1">
        <v>1.645123451799518E-2</v>
      </c>
      <c r="D20" s="1">
        <v>1.6550772995811058</v>
      </c>
      <c r="E20" s="1">
        <v>0.10471681926658105</v>
      </c>
      <c r="F20" s="1">
        <v>-5.8865527572449679E-3</v>
      </c>
      <c r="G20" s="1">
        <v>6.0342682358882849E-2</v>
      </c>
      <c r="H20" s="1">
        <v>-5.8865527572449679E-3</v>
      </c>
      <c r="I20" s="1">
        <v>6.0342682358882849E-2</v>
      </c>
    </row>
    <row r="24" spans="1:9" ht="18" x14ac:dyDescent="0.35">
      <c r="A24" s="4"/>
      <c r="B24" s="4"/>
      <c r="C24" s="4"/>
      <c r="D24" s="4"/>
    </row>
    <row r="25" spans="1:9" ht="18.5" x14ac:dyDescent="0.35">
      <c r="A25" s="5"/>
      <c r="B25" s="5"/>
      <c r="C25" s="5"/>
      <c r="D25" s="5"/>
    </row>
    <row r="26" spans="1:9" ht="18.5" x14ac:dyDescent="0.35">
      <c r="A26" s="5"/>
      <c r="B26" s="5"/>
      <c r="C26" s="5"/>
      <c r="D26" s="5"/>
    </row>
    <row r="27" spans="1:9" ht="18.5" x14ac:dyDescent="0.35">
      <c r="A27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ADBBE-6E2E-43B0-A214-D57A0CC79877}">
  <dimension ref="A1:G22"/>
  <sheetViews>
    <sheetView tabSelected="1" zoomScale="98" zoomScaleNormal="98" workbookViewId="0">
      <selection activeCell="A13" sqref="A13"/>
    </sheetView>
  </sheetViews>
  <sheetFormatPr defaultRowHeight="14.5" x14ac:dyDescent="0.35"/>
  <cols>
    <col min="1" max="1" width="53.08984375" customWidth="1"/>
    <col min="2" max="2" width="15" bestFit="1" customWidth="1"/>
    <col min="3" max="3" width="14.90625" bestFit="1" customWidth="1"/>
    <col min="4" max="4" width="14.36328125" bestFit="1" customWidth="1"/>
    <col min="5" max="5" width="42.90625" customWidth="1"/>
    <col min="6" max="6" width="8.7265625" customWidth="1"/>
  </cols>
  <sheetData>
    <row r="1" spans="1:7" x14ac:dyDescent="0.35">
      <c r="A1" s="21"/>
      <c r="B1" s="21"/>
      <c r="C1" s="21"/>
      <c r="D1" s="21"/>
      <c r="E1" s="21"/>
      <c r="F1" s="21"/>
      <c r="G1" s="21"/>
    </row>
    <row r="2" spans="1:7" ht="26" x14ac:dyDescent="0.6">
      <c r="A2" s="21" t="s">
        <v>62</v>
      </c>
      <c r="B2" s="21"/>
      <c r="C2" s="21"/>
      <c r="D2" s="21"/>
      <c r="E2" s="21"/>
      <c r="F2" s="21"/>
      <c r="G2" s="21"/>
    </row>
    <row r="3" spans="1:7" ht="15" thickBot="1" x14ac:dyDescent="0.4">
      <c r="A3" s="21"/>
      <c r="B3" s="21"/>
      <c r="C3" s="21"/>
      <c r="D3" s="21"/>
      <c r="E3" s="21"/>
      <c r="F3" s="21"/>
      <c r="G3" s="21"/>
    </row>
    <row r="4" spans="1:7" ht="15.5" thickTop="1" thickBot="1" x14ac:dyDescent="0.4">
      <c r="A4" s="18" t="s">
        <v>35</v>
      </c>
      <c r="B4" s="19"/>
      <c r="C4" s="18" t="s">
        <v>36</v>
      </c>
      <c r="D4" s="19"/>
      <c r="E4" s="18" t="s">
        <v>60</v>
      </c>
      <c r="F4" s="19"/>
      <c r="G4" s="20"/>
    </row>
    <row r="5" spans="1:7" ht="21.5" thickTop="1" x14ac:dyDescent="0.55000000000000004">
      <c r="A5" s="11">
        <f>SUM(startup!A2:A51)</f>
        <v>3686080.78</v>
      </c>
      <c r="B5" s="10"/>
      <c r="C5" s="11">
        <f>SUM(startup!C2:C51)</f>
        <v>10551254.890000002</v>
      </c>
      <c r="D5" s="10"/>
      <c r="E5" s="11">
        <f>SUM(startup!B2:B51)</f>
        <v>6067231.9799999977</v>
      </c>
      <c r="F5" s="10"/>
      <c r="G5" s="22"/>
    </row>
    <row r="6" spans="1:7" ht="15" thickBot="1" x14ac:dyDescent="0.4">
      <c r="F6" s="22"/>
      <c r="G6" s="22"/>
    </row>
    <row r="7" spans="1:7" ht="15.5" thickTop="1" thickBot="1" x14ac:dyDescent="0.4">
      <c r="F7" s="18" t="s">
        <v>37</v>
      </c>
      <c r="G7" s="19"/>
    </row>
    <row r="8" spans="1:7" ht="22" thickTop="1" thickBot="1" x14ac:dyDescent="0.6">
      <c r="A8" s="13" t="s">
        <v>38</v>
      </c>
      <c r="F8" s="11">
        <f>SUM(startup!E2:E51)</f>
        <v>5600631.9600000009</v>
      </c>
      <c r="G8" s="10"/>
    </row>
    <row r="9" spans="1:7" ht="15.5" thickTop="1" thickBot="1" x14ac:dyDescent="0.4">
      <c r="F9" s="18" t="s">
        <v>61</v>
      </c>
      <c r="G9" s="19"/>
    </row>
    <row r="10" spans="1:7" ht="21.5" thickTop="1" x14ac:dyDescent="0.55000000000000004">
      <c r="A10" s="14" t="s">
        <v>63</v>
      </c>
      <c r="F10" s="12">
        <f>COUNTA(startup!A2:A51)</f>
        <v>50</v>
      </c>
      <c r="G10" s="10"/>
    </row>
    <row r="11" spans="1:7" ht="16" x14ac:dyDescent="0.45">
      <c r="A11" s="14" t="s">
        <v>39</v>
      </c>
    </row>
    <row r="12" spans="1:7" ht="16" x14ac:dyDescent="0.45">
      <c r="A12" s="14" t="s">
        <v>64</v>
      </c>
    </row>
    <row r="15" spans="1:7" ht="17.5" x14ac:dyDescent="0.45">
      <c r="A15" s="13" t="s">
        <v>40</v>
      </c>
    </row>
    <row r="17" spans="1:5" ht="16" x14ac:dyDescent="0.45">
      <c r="A17" s="15" t="s">
        <v>41</v>
      </c>
      <c r="B17" s="15" t="s">
        <v>42</v>
      </c>
      <c r="C17" s="15" t="s">
        <v>43</v>
      </c>
      <c r="D17" s="15" t="s">
        <v>44</v>
      </c>
      <c r="E17" s="15" t="s">
        <v>45</v>
      </c>
    </row>
    <row r="18" spans="1:5" ht="16" x14ac:dyDescent="0.45">
      <c r="A18" s="16" t="s">
        <v>46</v>
      </c>
      <c r="B18" s="16" t="s">
        <v>47</v>
      </c>
      <c r="C18" s="16" t="s">
        <v>0</v>
      </c>
      <c r="D18" s="16" t="s">
        <v>4</v>
      </c>
      <c r="E18" s="16" t="s">
        <v>48</v>
      </c>
    </row>
    <row r="19" spans="1:5" ht="16" x14ac:dyDescent="0.45">
      <c r="A19" s="17" t="s">
        <v>49</v>
      </c>
      <c r="B19" s="17" t="s">
        <v>47</v>
      </c>
      <c r="C19" s="17" t="s">
        <v>2</v>
      </c>
      <c r="D19" s="17" t="s">
        <v>4</v>
      </c>
      <c r="E19" s="17" t="s">
        <v>50</v>
      </c>
    </row>
    <row r="20" spans="1:5" ht="16" x14ac:dyDescent="0.45">
      <c r="A20" s="16" t="s">
        <v>51</v>
      </c>
      <c r="B20" s="16" t="s">
        <v>47</v>
      </c>
      <c r="C20" s="16" t="s">
        <v>1</v>
      </c>
      <c r="D20" s="16" t="s">
        <v>4</v>
      </c>
      <c r="E20" s="16" t="s">
        <v>52</v>
      </c>
    </row>
    <row r="21" spans="1:5" ht="16" x14ac:dyDescent="0.45">
      <c r="A21" s="17" t="s">
        <v>53</v>
      </c>
      <c r="B21" s="17" t="s">
        <v>54</v>
      </c>
      <c r="C21" s="17" t="s">
        <v>3</v>
      </c>
      <c r="D21" s="17" t="s">
        <v>57</v>
      </c>
      <c r="E21" s="17" t="s">
        <v>58</v>
      </c>
    </row>
    <row r="22" spans="1:5" ht="16" x14ac:dyDescent="0.45">
      <c r="A22" s="16" t="s">
        <v>55</v>
      </c>
      <c r="B22" s="16" t="s">
        <v>56</v>
      </c>
      <c r="C22" s="16" t="s">
        <v>3</v>
      </c>
      <c r="D22" s="16" t="s">
        <v>57</v>
      </c>
      <c r="E22" s="16" t="s">
        <v>59</v>
      </c>
    </row>
  </sheetData>
  <mergeCells count="10">
    <mergeCell ref="E5:F5"/>
    <mergeCell ref="A4:B4"/>
    <mergeCell ref="C4:D4"/>
    <mergeCell ref="F7:G7"/>
    <mergeCell ref="F9:G9"/>
    <mergeCell ref="A5:B5"/>
    <mergeCell ref="C5:D5"/>
    <mergeCell ref="F8:G8"/>
    <mergeCell ref="F10:G10"/>
    <mergeCell ref="E4:F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0AAB200-4B86-40D7-91C7-B3CC215E84F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startup</vt:lpstr>
      <vt:lpstr>Regression Sheet</vt:lpstr>
      <vt:lpstr>Insights and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Ikramul Haque Laskar</dc:creator>
  <cp:lastModifiedBy>Ikramul Haque Laskar</cp:lastModifiedBy>
  <dcterms:created xsi:type="dcterms:W3CDTF">2026-06-08T14:35:49Z</dcterms:created>
  <dcterms:modified xsi:type="dcterms:W3CDTF">2026-06-12T18:41:17Z</dcterms:modified>
</cp:coreProperties>
</file>